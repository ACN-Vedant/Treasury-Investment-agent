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vedant_j_shah_accenture_com/Documents/Desktop/AI Agents/Investment App connected with SAP/"/>
    </mc:Choice>
  </mc:AlternateContent>
  <xr:revisionPtr revIDLastSave="1" documentId="13_ncr:1_{B07CB917-CDA8-4881-B7AB-67284ADF6C6B}" xr6:coauthVersionLast="47" xr6:coauthVersionMax="47" xr10:uidLastSave="{8FB0591C-7FBD-41EC-90C6-42A92E6B8E5A}"/>
  <bookViews>
    <workbookView xWindow="-30828" yWindow="-108" windowWidth="30936" windowHeight="16776" tabRatio="500" activeTab="4" xr2:uid="{00000000-000D-0000-FFFF-FFFF00000000}"/>
  </bookViews>
  <sheets>
    <sheet name="Cash Balances" sheetId="1" r:id="rId1"/>
    <sheet name="Bank Statements" sheetId="2" r:id="rId2"/>
    <sheet name="Loan Schedule" sheetId="3" r:id="rId3"/>
    <sheet name="Investment Positions" sheetId="4" r:id="rId4"/>
    <sheet name="Market Rates &amp; Polic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1" i="4" l="1"/>
  <c r="M10" i="4"/>
  <c r="M9" i="4"/>
  <c r="M8" i="4"/>
  <c r="M7" i="4"/>
  <c r="M6" i="4"/>
  <c r="M5" i="4"/>
  <c r="L12" i="3"/>
  <c r="J12" i="3"/>
  <c r="G12" i="3"/>
  <c r="F12" i="3"/>
  <c r="M11" i="3"/>
  <c r="M10" i="3"/>
  <c r="M12" i="3"/>
  <c r="H8" i="1"/>
  <c r="G8" i="1"/>
  <c r="F8" i="1"/>
  <c r="I7" i="1"/>
  <c r="I6" i="1"/>
  <c r="I5" i="1"/>
  <c r="I8" i="1" s="1"/>
</calcChain>
</file>

<file path=xl/sharedStrings.xml><?xml version="1.0" encoding="utf-8"?>
<sst xmlns="http://schemas.openxmlformats.org/spreadsheetml/2006/main" count="308" uniqueCount="182">
  <si>
    <t>Cash Balances</t>
  </si>
  <si>
    <t>Available balance, minimum operating balance, and gross surplus per account  |  Update daily before running the pipeline</t>
  </si>
  <si>
    <t>Account_ID</t>
  </si>
  <si>
    <t>Account_Name</t>
  </si>
  <si>
    <t>Bank_Name</t>
  </si>
  <si>
    <t>Currency</t>
  </si>
  <si>
    <t>Balance_Date</t>
  </si>
  <si>
    <t>Available_Balance</t>
  </si>
  <si>
    <t>Ledger_Balance</t>
  </si>
  <si>
    <t>Min_Operating_Balance</t>
  </si>
  <si>
    <t>Gross_Surplus</t>
  </si>
  <si>
    <t>Notes</t>
  </si>
  <si>
    <t>ACC-001</t>
  </si>
  <si>
    <t>Main Operating Account</t>
  </si>
  <si>
    <t>Barclays Bank</t>
  </si>
  <si>
    <t>USD</t>
  </si>
  <si>
    <t>Primary USD operating account</t>
  </si>
  <si>
    <t>JPMorgan</t>
  </si>
  <si>
    <t>ACC-003</t>
  </si>
  <si>
    <t>GBP Operating Account</t>
  </si>
  <si>
    <t>HSBC</t>
  </si>
  <si>
    <t>GBP</t>
  </si>
  <si>
    <t>ACC-004</t>
  </si>
  <si>
    <t>EUR Operating Account</t>
  </si>
  <si>
    <t>Deutsche Bank</t>
  </si>
  <si>
    <t>EUR</t>
  </si>
  <si>
    <t>NatWest</t>
  </si>
  <si>
    <t>TOTAL</t>
  </si>
  <si>
    <t>Colour guide:</t>
  </si>
  <si>
    <t>Blue = input cell (edit these)</t>
  </si>
  <si>
    <t>Black = formula (do not edit)</t>
  </si>
  <si>
    <t>Bank Statements</t>
  </si>
  <si>
    <t>Last 30 days of transactions per account  |  Paste latest MT940 / bank export here — agents use this for trend analysis only</t>
  </si>
  <si>
    <t>Transaction_Date</t>
  </si>
  <si>
    <t>Value_Date</t>
  </si>
  <si>
    <t>Description</t>
  </si>
  <si>
    <t>Reference</t>
  </si>
  <si>
    <t>Debit_Amount</t>
  </si>
  <si>
    <t>Credit_Amount</t>
  </si>
  <si>
    <t>Running_Balance</t>
  </si>
  <si>
    <t>Transaction_Type</t>
  </si>
  <si>
    <t>Opening Balance</t>
  </si>
  <si>
    <t>OB-MAY26</t>
  </si>
  <si>
    <t>BALANCE</t>
  </si>
  <si>
    <t>Supplier Payment — Acme Corp</t>
  </si>
  <si>
    <t>INV-5521</t>
  </si>
  <si>
    <t>PAYMENT</t>
  </si>
  <si>
    <t>Customer Receipt — Beta Ltd</t>
  </si>
  <si>
    <t>REC-8821</t>
  </si>
  <si>
    <t>RECEIPT</t>
  </si>
  <si>
    <t>Payroll Run May 2026</t>
  </si>
  <si>
    <t>PAY-MAY26</t>
  </si>
  <si>
    <t>PAYROLL</t>
  </si>
  <si>
    <t>Loan Interest Payment LN-001</t>
  </si>
  <si>
    <t>LN001-INT</t>
  </si>
  <si>
    <t>LOAN</t>
  </si>
  <si>
    <t>Customer Receipt — Gamma Inc</t>
  </si>
  <si>
    <t>REC-9102</t>
  </si>
  <si>
    <t>Supplier Payment — Delta Corp</t>
  </si>
  <si>
    <t>INV-5891</t>
  </si>
  <si>
    <t>Closing Balance</t>
  </si>
  <si>
    <t>CB-MAY26</t>
  </si>
  <si>
    <t>⬆ Paste your full 30-day transaction export above. Keep the header row — agents detect columns by name.</t>
  </si>
  <si>
    <t>Loan Schedule</t>
  </si>
  <si>
    <t>Upcoming principal repayments and interest payables  |  Agents deduct these from gross surplus to derive net investable surplus and cap investment tenors</t>
  </si>
  <si>
    <t>How this sheet is used:</t>
  </si>
  <si>
    <t>• The Reporting Agent sums all Principal_Due_Amount + Interest_Due_Amount per Account_ID where Due_Date falls within 180 days of the analysis date.</t>
  </si>
  <si>
    <t>• This total is deducted from (Gross Surplus + Maturing Investment Proceeds) to produce the Net Investable Surplus.</t>
  </si>
  <si>
    <t>• The Opportunity Agent caps each investment tenor at the earliest loan due date on the same account.</t>
  </si>
  <si>
    <t>• Include only loans where YOUR COMPANY is the borrower (term loans, RCFs drawn, working capital lines). Exclude undrawn facilities.</t>
  </si>
  <si>
    <t>Loan_ID</t>
  </si>
  <si>
    <t>Lender_Name</t>
  </si>
  <si>
    <t>Loan_Type</t>
  </si>
  <si>
    <t>Facility_Amount</t>
  </si>
  <si>
    <t>Outstanding_Principal</t>
  </si>
  <si>
    <t>Interest_Rate_Pct</t>
  </si>
  <si>
    <t>Due_Date</t>
  </si>
  <si>
    <t>Principal_Due_Amount</t>
  </si>
  <si>
    <t>Payment_Frequency</t>
  </si>
  <si>
    <t>Interest_Due_Amount</t>
  </si>
  <si>
    <t>Total_Due_Amount</t>
  </si>
  <si>
    <t>Loan_Purpose</t>
  </si>
  <si>
    <t>Status</t>
  </si>
  <si>
    <t>Term Loan</t>
  </si>
  <si>
    <t>Quarterly</t>
  </si>
  <si>
    <t>ACTIVE</t>
  </si>
  <si>
    <t>LN-003</t>
  </si>
  <si>
    <t>Equipment financing</t>
  </si>
  <si>
    <t>LN-004</t>
  </si>
  <si>
    <t>Acquisition facility</t>
  </si>
  <si>
    <t>BNP Paribas</t>
  </si>
  <si>
    <t>Investment Positions</t>
  </si>
  <si>
    <t>Existing investments — notional, yield, tenor, maturity date, counterparty and credit rating  |  Agents read maturing principal + interest from this sheet</t>
  </si>
  <si>
    <t>Position_ID</t>
  </si>
  <si>
    <t>Product_Type</t>
  </si>
  <si>
    <t>Counterparty</t>
  </si>
  <si>
    <t>Notional_Amount</t>
  </si>
  <si>
    <t>Start_Date</t>
  </si>
  <si>
    <t>Maturity_Date</t>
  </si>
  <si>
    <t>Tenor_Days</t>
  </si>
  <si>
    <t>Yield_Percent</t>
  </si>
  <si>
    <t>Credit_Rating</t>
  </si>
  <si>
    <t>Max_Counterparty_Limit</t>
  </si>
  <si>
    <t>Current_Exposure</t>
  </si>
  <si>
    <t>Headroom</t>
  </si>
  <si>
    <t>TMS_Reference</t>
  </si>
  <si>
    <t>POS-001</t>
  </si>
  <si>
    <t>Fixed Deposit</t>
  </si>
  <si>
    <t>Barclays</t>
  </si>
  <si>
    <t>AA+</t>
  </si>
  <si>
    <t>TMS-2026-0031</t>
  </si>
  <si>
    <t>POS-002</t>
  </si>
  <si>
    <t>T-Bill</t>
  </si>
  <si>
    <t>AAA</t>
  </si>
  <si>
    <t>TMS-2026-0032</t>
  </si>
  <si>
    <t>POS-003</t>
  </si>
  <si>
    <t>AA-</t>
  </si>
  <si>
    <t>TMS-2026-0033</t>
  </si>
  <si>
    <t>POS-004</t>
  </si>
  <si>
    <t>Money Market Fund</t>
  </si>
  <si>
    <t>BlackRock MMF</t>
  </si>
  <si>
    <t>AA</t>
  </si>
  <si>
    <t>TMS-2026-0034</t>
  </si>
  <si>
    <t>POS-005</t>
  </si>
  <si>
    <t>A+</t>
  </si>
  <si>
    <t>TMS-2026-0035</t>
  </si>
  <si>
    <t>POS-006</t>
  </si>
  <si>
    <t>Commercial Paper</t>
  </si>
  <si>
    <t>Citibank</t>
  </si>
  <si>
    <t>TMS-2026-0028</t>
  </si>
  <si>
    <t>POS-007</t>
  </si>
  <si>
    <t>TMS-2025-0087</t>
  </si>
  <si>
    <t>Maturing within 180 days (by 28 Nov 2026): POS-001 to POS-005 — agents add back Notional_Amount + accrued interest as investable proceeds. POS-006 / POS-007 mature outside the horizon and are excluded from surplus calculations.</t>
  </si>
  <si>
    <t>Market Rates &amp; Policy</t>
  </si>
  <si>
    <t>Current market rates and investment policy parameters  |  Update rates daily; update policy parameters when treasury policy changes</t>
  </si>
  <si>
    <t>SECTION A — Market Rates (update daily)</t>
  </si>
  <si>
    <t>Parameter</t>
  </si>
  <si>
    <t>Value</t>
  </si>
  <si>
    <t>Format</t>
  </si>
  <si>
    <t>Rate_Date</t>
  </si>
  <si>
    <t>DD/MM/YYYY</t>
  </si>
  <si>
    <t>Date rates were sourced — must match analysis date</t>
  </si>
  <si>
    <t>Overnight_Rate</t>
  </si>
  <si>
    <t>0.00%</t>
  </si>
  <si>
    <t>Fed Funds / SONIA effective overnight rate</t>
  </si>
  <si>
    <t>1_Month_Rate</t>
  </si>
  <si>
    <t>1-month SOFR / SONIA term rate</t>
  </si>
  <si>
    <t>3_Month_Rate</t>
  </si>
  <si>
    <t>3-month SOFR / SONIA term rate</t>
  </si>
  <si>
    <t>6_Month_Rate</t>
  </si>
  <si>
    <t>6-month SOFR / SONIA term rate</t>
  </si>
  <si>
    <t>GBP_Overnight_Rate</t>
  </si>
  <si>
    <t>SONIA overnight</t>
  </si>
  <si>
    <t>EUR_Overnight_Rate</t>
  </si>
  <si>
    <t>€STR overnight</t>
  </si>
  <si>
    <t>SECTION B — Investment Policy Rules (update when policy changes)</t>
  </si>
  <si>
    <t>Min_Acceptable_Yield</t>
  </si>
  <si>
    <t>Minimum yield any new deal must achieve — deals below this are rejected</t>
  </si>
  <si>
    <t>Max_Tenor_Days</t>
  </si>
  <si>
    <t>General</t>
  </si>
  <si>
    <t>Maximum tenor in days for any new investment — overridden by earliest loan date per account</t>
  </si>
  <si>
    <t>Min_Credit_Rating</t>
  </si>
  <si>
    <t>A-</t>
  </si>
  <si>
    <t>Text</t>
  </si>
  <si>
    <t>Minimum S&amp;P (or equivalent) credit rating counterparty must hold</t>
  </si>
  <si>
    <t>Min_Placement_Amount_USD</t>
  </si>
  <si>
    <t>#,##0</t>
  </si>
  <si>
    <t>Minimum deal size in USD — surpluses below this are not recommended</t>
  </si>
  <si>
    <t>Min_Placement_Amount_GBP</t>
  </si>
  <si>
    <t>Minimum deal size in GBP</t>
  </si>
  <si>
    <t>Min_Placement_Amount_EUR</t>
  </si>
  <si>
    <t>Minimum deal size in EUR</t>
  </si>
  <si>
    <t>Approved_Products</t>
  </si>
  <si>
    <t>Fixed Deposit; T-Bill; Money Market Fund; Commercial Paper</t>
  </si>
  <si>
    <t>Text (semicolon-delimited)</t>
  </si>
  <si>
    <t>Product types eligible for new placements</t>
  </si>
  <si>
    <t>Approved_Counterparties</t>
  </si>
  <si>
    <t>Barclays; HSBC; JPMorgan; Citibank; Deutsche Bank; BNP Paribas; NatWest; Wells Fargo; BlackRock MMF</t>
  </si>
  <si>
    <t>Banks and funds eligible for new placements</t>
  </si>
  <si>
    <t>SECTION C — Per-Counterparty Exposure Limits</t>
  </si>
  <si>
    <t>Wells Fargo</t>
  </si>
  <si>
    <t>Money market fund — higher limit applies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</si>
</sst>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;\(#,##0\);\-"/>
  </numFmts>
  <fonts count="20" x14ac:knownFonts="1">
    <font>
      <sz val="11"/>
      <color theme="1"/>
      <name val="Calibri"/>
      <family val="2"/>
      <charset val="1"/>
    </font>
    <font>
      <b/>
      <sz val="14"/>
      <color rgb="FF00B0F0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0"/>
      <name val="Arial"/>
      <charset val="1"/>
    </font>
    <font>
      <b/>
      <sz val="9"/>
      <name val="Arial"/>
      <charset val="1"/>
    </font>
    <font>
      <sz val="9"/>
      <color rgb="FF0000FF"/>
      <name val="Arial"/>
      <charset val="1"/>
    </font>
    <font>
      <sz val="9"/>
      <color rgb="FF000000"/>
      <name val="Arial"/>
      <charset val="1"/>
    </font>
    <font>
      <b/>
      <sz val="14"/>
      <color rgb="FFFFC000"/>
      <name val="Arial"/>
      <charset val="1"/>
    </font>
    <font>
      <b/>
      <sz val="14"/>
      <color rgb="FF7030A0"/>
      <name val="Arial"/>
      <charset val="1"/>
    </font>
    <font>
      <b/>
      <sz val="9"/>
      <color rgb="FF595959"/>
      <name val="Arial"/>
      <charset val="1"/>
    </font>
    <font>
      <b/>
      <sz val="14"/>
      <color rgb="FF70AD47"/>
      <name val="Arial"/>
      <charset val="1"/>
    </font>
    <font>
      <sz val="10"/>
      <color rgb="FF008000"/>
      <name val="Arial"/>
      <charset val="1"/>
    </font>
    <font>
      <i/>
      <sz val="9"/>
      <color rgb="FF375623"/>
      <name val="Arial"/>
      <charset val="1"/>
    </font>
    <font>
      <b/>
      <sz val="14"/>
      <color rgb="FFED7D31"/>
      <name val="Arial"/>
      <charset val="1"/>
    </font>
    <font>
      <b/>
      <sz val="11"/>
      <color rgb="FFED7D31"/>
      <name val="Arial"/>
      <charset val="1"/>
    </font>
    <font>
      <sz val="9"/>
      <color rgb="FF595959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FF"/>
        <bgColor rgb="FFFFFFF5"/>
      </patternFill>
    </fill>
    <fill>
      <patternFill patternType="solid">
        <fgColor rgb="FFEBF3FB"/>
        <bgColor rgb="FFF2EBFA"/>
      </patternFill>
    </fill>
    <fill>
      <patternFill patternType="solid">
        <fgColor rgb="FFD9E1F2"/>
        <bgColor rgb="FFE9D7FD"/>
      </patternFill>
    </fill>
    <fill>
      <patternFill patternType="solid">
        <fgColor rgb="FF7030A0"/>
        <bgColor rgb="FF993366"/>
      </patternFill>
    </fill>
    <fill>
      <patternFill patternType="solid">
        <fgColor rgb="FFF2EBFA"/>
        <bgColor rgb="FFEBF3FB"/>
      </patternFill>
    </fill>
    <fill>
      <patternFill patternType="solid">
        <fgColor rgb="FFFAF5FF"/>
        <bgColor rgb="FFFFFFFF"/>
      </patternFill>
    </fill>
    <fill>
      <patternFill patternType="solid">
        <fgColor rgb="FFE9D7FD"/>
        <bgColor rgb="FFD9E1F2"/>
      </patternFill>
    </fill>
    <fill>
      <patternFill patternType="solid">
        <fgColor rgb="FF70AD47"/>
        <bgColor rgb="FF339966"/>
      </patternFill>
    </fill>
    <fill>
      <patternFill patternType="solid">
        <fgColor rgb="FFFFF2CC"/>
        <bgColor rgb="FFFFFDE7"/>
      </patternFill>
    </fill>
    <fill>
      <patternFill patternType="solid">
        <fgColor rgb="FFFFFDE7"/>
        <bgColor rgb="FFFFFFF5"/>
      </patternFill>
    </fill>
    <fill>
      <patternFill patternType="solid">
        <fgColor rgb="FFFFFFF5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165" fontId="6" fillId="3" borderId="1" xfId="0" applyNumberFormat="1" applyFont="1" applyFill="1" applyBorder="1"/>
    <xf numFmtId="0" fontId="4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/>
    <xf numFmtId="165" fontId="5" fillId="4" borderId="1" xfId="0" applyNumberFormat="1" applyFont="1" applyFill="1" applyBorder="1"/>
    <xf numFmtId="165" fontId="6" fillId="4" borderId="1" xfId="0" applyNumberFormat="1" applyFont="1" applyFill="1" applyBorder="1"/>
    <xf numFmtId="0" fontId="7" fillId="5" borderId="1" xfId="0" applyFont="1" applyFill="1" applyBorder="1"/>
    <xf numFmtId="0" fontId="0" fillId="5" borderId="1" xfId="0" applyFill="1" applyBorder="1"/>
    <xf numFmtId="165" fontId="7" fillId="5" borderId="1" xfId="0" applyNumberFormat="1" applyFont="1" applyFill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left" vertical="center"/>
    </xf>
    <xf numFmtId="0" fontId="2" fillId="0" borderId="0" xfId="0" applyFont="1"/>
    <xf numFmtId="0" fontId="12" fillId="0" borderId="0" xfId="0" applyFont="1" applyAlignment="1">
      <alignment horizontal="left" vertical="center"/>
    </xf>
    <xf numFmtId="0" fontId="13" fillId="0" borderId="0" xfId="0" applyFont="1"/>
    <xf numFmtId="0" fontId="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165" fontId="5" fillId="7" borderId="1" xfId="0" applyNumberFormat="1" applyFont="1" applyFill="1" applyBorder="1"/>
    <xf numFmtId="10" fontId="5" fillId="7" borderId="1" xfId="0" applyNumberFormat="1" applyFont="1" applyFill="1" applyBorder="1"/>
    <xf numFmtId="164" fontId="5" fillId="7" borderId="1" xfId="0" applyNumberFormat="1" applyFont="1" applyFill="1" applyBorder="1"/>
    <xf numFmtId="165" fontId="7" fillId="7" borderId="1" xfId="0" applyNumberFormat="1" applyFont="1" applyFill="1" applyBorder="1"/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165" fontId="5" fillId="8" borderId="1" xfId="0" applyNumberFormat="1" applyFont="1" applyFill="1" applyBorder="1"/>
    <xf numFmtId="10" fontId="5" fillId="8" borderId="1" xfId="0" applyNumberFormat="1" applyFont="1" applyFill="1" applyBorder="1"/>
    <xf numFmtId="164" fontId="5" fillId="8" borderId="1" xfId="0" applyNumberFormat="1" applyFont="1" applyFill="1" applyBorder="1"/>
    <xf numFmtId="165" fontId="7" fillId="8" borderId="1" xfId="0" applyNumberFormat="1" applyFont="1" applyFill="1" applyBorder="1"/>
    <xf numFmtId="0" fontId="4" fillId="8" borderId="1" xfId="0" applyFont="1" applyFill="1" applyBorder="1" applyAlignment="1">
      <alignment horizontal="center" vertical="center"/>
    </xf>
    <xf numFmtId="0" fontId="7" fillId="9" borderId="1" xfId="0" applyFont="1" applyFill="1" applyBorder="1"/>
    <xf numFmtId="0" fontId="0" fillId="9" borderId="1" xfId="0" applyFill="1" applyBorder="1"/>
    <xf numFmtId="165" fontId="7" fillId="9" borderId="1" xfId="0" applyNumberFormat="1" applyFont="1" applyFill="1" applyBorder="1"/>
    <xf numFmtId="0" fontId="14" fillId="0" borderId="0" xfId="0" applyFont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/>
    <xf numFmtId="10" fontId="5" fillId="3" borderId="1" xfId="0" applyNumberFormat="1" applyFont="1" applyFill="1" applyBorder="1"/>
    <xf numFmtId="165" fontId="15" fillId="3" borderId="1" xfId="0" applyNumberFormat="1" applyFont="1" applyFill="1" applyBorder="1"/>
    <xf numFmtId="3" fontId="4" fillId="4" borderId="1" xfId="0" applyNumberFormat="1" applyFont="1" applyFill="1" applyBorder="1"/>
    <xf numFmtId="10" fontId="5" fillId="4" borderId="1" xfId="0" applyNumberFormat="1" applyFont="1" applyFill="1" applyBorder="1"/>
    <xf numFmtId="165" fontId="15" fillId="4" borderId="1" xfId="0" applyNumberFormat="1" applyFont="1" applyFill="1" applyBorder="1"/>
    <xf numFmtId="0" fontId="16" fillId="0" borderId="0" xfId="0" applyFont="1"/>
    <xf numFmtId="0" fontId="17" fillId="0" borderId="0" xfId="0" applyFont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164" fontId="5" fillId="12" borderId="1" xfId="0" applyNumberFormat="1" applyFont="1" applyFill="1" applyBorder="1"/>
    <xf numFmtId="0" fontId="19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left" vertical="center"/>
    </xf>
    <xf numFmtId="10" fontId="5" fillId="13" borderId="1" xfId="0" applyNumberFormat="1" applyFont="1" applyFill="1" applyBorder="1"/>
    <xf numFmtId="0" fontId="19" fillId="13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left" vertical="center"/>
    </xf>
    <xf numFmtId="10" fontId="5" fillId="12" borderId="1" xfId="0" applyNumberFormat="1" applyFont="1" applyFill="1" applyBorder="1"/>
    <xf numFmtId="10" fontId="5" fillId="14" borderId="1" xfId="0" applyNumberFormat="1" applyFont="1" applyFill="1" applyBorder="1"/>
    <xf numFmtId="0" fontId="5" fillId="14" borderId="1" xfId="0" applyFont="1" applyFill="1" applyBorder="1"/>
    <xf numFmtId="3" fontId="5" fillId="14" borderId="1" xfId="0" applyNumberFormat="1" applyFont="1" applyFill="1" applyBorder="1"/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18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9D7FD"/>
      <rgbColor rgb="FF808080"/>
      <rgbColor rgb="FF9999FF"/>
      <rgbColor rgb="FF7030A0"/>
      <rgbColor rgb="FFFFFDE7"/>
      <rgbColor rgb="FFEBF3FB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9E1F2"/>
      <rgbColor rgb="FFF2EBFA"/>
      <rgbColor rgb="FFFFF2CC"/>
      <rgbColor rgb="FFFFFFF5"/>
      <rgbColor rgb="FFFF99CC"/>
      <rgbColor rgb="FFCC99FF"/>
      <rgbColor rgb="FFFAF5FF"/>
      <rgbColor rgb="FF3366FF"/>
      <rgbColor rgb="FF33CCCC"/>
      <rgbColor rgb="FF99CC00"/>
      <rgbColor rgb="FFFFC0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J10"/>
  <sheetViews>
    <sheetView zoomScale="90" zoomScaleNormal="90" workbookViewId="0">
      <pane ySplit="4" topLeftCell="A5" activePane="bottomLeft" state="frozen"/>
      <selection pane="bottomLeft" activeCell="C5" sqref="C5:C6"/>
    </sheetView>
  </sheetViews>
  <sheetFormatPr defaultColWidth="8.6328125" defaultRowHeight="14.5" x14ac:dyDescent="0.35"/>
  <cols>
    <col min="1" max="1" width="12" customWidth="1"/>
    <col min="2" max="2" width="28" customWidth="1"/>
    <col min="3" max="3" width="18" customWidth="1"/>
    <col min="4" max="4" width="10" customWidth="1"/>
    <col min="5" max="5" width="14" customWidth="1"/>
    <col min="6" max="7" width="18" customWidth="1"/>
    <col min="8" max="8" width="20" customWidth="1"/>
    <col min="9" max="9" width="16" customWidth="1"/>
    <col min="10" max="10" width="30" customWidth="1"/>
  </cols>
  <sheetData>
    <row r="1" spans="1:10" ht="27.75" customHeight="1" x14ac:dyDescent="0.35">
      <c r="A1" s="1" t="s">
        <v>0</v>
      </c>
    </row>
    <row r="2" spans="1:10" ht="15.75" customHeight="1" x14ac:dyDescent="0.35">
      <c r="A2" s="2" t="s">
        <v>1</v>
      </c>
    </row>
    <row r="4" spans="1:10" ht="18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ht="15" customHeight="1" x14ac:dyDescent="0.35">
      <c r="A5" s="4" t="s">
        <v>12</v>
      </c>
      <c r="B5" s="4" t="s">
        <v>13</v>
      </c>
      <c r="C5" s="4" t="s">
        <v>14</v>
      </c>
      <c r="D5" s="4" t="s">
        <v>15</v>
      </c>
      <c r="E5" s="5">
        <v>46174</v>
      </c>
      <c r="F5" s="6">
        <v>16700000</v>
      </c>
      <c r="G5" s="6">
        <v>16500000</v>
      </c>
      <c r="H5" s="6">
        <v>5000000</v>
      </c>
      <c r="I5" s="7">
        <f>F5-H5</f>
        <v>11700000</v>
      </c>
      <c r="J5" s="4" t="s">
        <v>16</v>
      </c>
    </row>
    <row r="6" spans="1:10" ht="15" customHeight="1" x14ac:dyDescent="0.35">
      <c r="A6" s="4" t="s">
        <v>18</v>
      </c>
      <c r="B6" s="4" t="s">
        <v>19</v>
      </c>
      <c r="C6" s="4" t="s">
        <v>20</v>
      </c>
      <c r="D6" s="4" t="s">
        <v>21</v>
      </c>
      <c r="E6" s="5">
        <v>46174</v>
      </c>
      <c r="F6" s="6">
        <v>5050000</v>
      </c>
      <c r="G6" s="6">
        <v>5000000</v>
      </c>
      <c r="H6" s="6">
        <v>2000000</v>
      </c>
      <c r="I6" s="7">
        <f>F6-H6</f>
        <v>3050000</v>
      </c>
      <c r="J6" s="4"/>
    </row>
    <row r="7" spans="1:10" ht="15" customHeight="1" x14ac:dyDescent="0.35">
      <c r="A7" s="8" t="s">
        <v>22</v>
      </c>
      <c r="B7" s="8" t="s">
        <v>23</v>
      </c>
      <c r="C7" s="8" t="s">
        <v>24</v>
      </c>
      <c r="D7" s="8" t="s">
        <v>25</v>
      </c>
      <c r="E7" s="9">
        <v>46174</v>
      </c>
      <c r="F7" s="10">
        <v>3980000</v>
      </c>
      <c r="G7" s="10">
        <v>3950000</v>
      </c>
      <c r="H7" s="10">
        <v>2000000</v>
      </c>
      <c r="I7" s="11">
        <f>F7-H7</f>
        <v>1980000</v>
      </c>
      <c r="J7" s="8"/>
    </row>
    <row r="8" spans="1:10" ht="15.75" customHeight="1" x14ac:dyDescent="0.35">
      <c r="A8" s="12" t="s">
        <v>27</v>
      </c>
      <c r="B8" s="13"/>
      <c r="C8" s="13"/>
      <c r="D8" s="13"/>
      <c r="E8" s="13"/>
      <c r="F8" s="14">
        <f>SUM(F5:F7)</f>
        <v>25730000</v>
      </c>
      <c r="G8" s="14">
        <f>SUM(G5:G7)</f>
        <v>25450000</v>
      </c>
      <c r="H8" s="14">
        <f>SUM(H5:H7)</f>
        <v>9000000</v>
      </c>
      <c r="I8" s="14">
        <f>SUM(I5:I7)</f>
        <v>16730000</v>
      </c>
      <c r="J8" s="13"/>
    </row>
    <row r="10" spans="1:10" ht="15" customHeight="1" x14ac:dyDescent="0.35">
      <c r="A10" s="15" t="s">
        <v>28</v>
      </c>
      <c r="B10" s="16" t="s">
        <v>29</v>
      </c>
      <c r="C10" s="17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K18"/>
  <sheetViews>
    <sheetView zoomScale="90" zoomScaleNormal="90" workbookViewId="0">
      <pane ySplit="4" topLeftCell="A5" activePane="bottomLeft" state="frozen"/>
      <selection pane="bottomLeft" activeCell="H13" sqref="H13"/>
    </sheetView>
  </sheetViews>
  <sheetFormatPr defaultColWidth="8.6328125" defaultRowHeight="14.5" x14ac:dyDescent="0.35"/>
  <cols>
    <col min="1" max="1" width="12" customWidth="1"/>
    <col min="2" max="2" width="28" customWidth="1"/>
    <col min="3" max="3" width="10" customWidth="1"/>
    <col min="4" max="5" width="14" customWidth="1"/>
    <col min="6" max="6" width="35" customWidth="1"/>
    <col min="7" max="9" width="16" customWidth="1"/>
    <col min="10" max="10" width="18" customWidth="1"/>
    <col min="11" max="11" width="16" customWidth="1"/>
  </cols>
  <sheetData>
    <row r="1" spans="1:11" ht="27.75" customHeight="1" x14ac:dyDescent="0.35">
      <c r="A1" s="18" t="s">
        <v>31</v>
      </c>
    </row>
    <row r="2" spans="1:11" ht="15.75" customHeight="1" x14ac:dyDescent="0.35">
      <c r="A2" s="2" t="s">
        <v>32</v>
      </c>
    </row>
    <row r="4" spans="1:11" ht="18" customHeight="1" x14ac:dyDescent="0.35">
      <c r="A4" s="3" t="s">
        <v>2</v>
      </c>
      <c r="B4" s="3" t="s">
        <v>3</v>
      </c>
      <c r="C4" s="3" t="s">
        <v>5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</row>
    <row r="5" spans="1:11" ht="15" customHeight="1" x14ac:dyDescent="0.35">
      <c r="A5" s="4" t="s">
        <v>12</v>
      </c>
      <c r="B5" s="4" t="s">
        <v>13</v>
      </c>
      <c r="C5" s="4" t="s">
        <v>15</v>
      </c>
      <c r="D5" s="5">
        <v>46143</v>
      </c>
      <c r="E5" s="5">
        <v>46143</v>
      </c>
      <c r="F5" s="4" t="s">
        <v>41</v>
      </c>
      <c r="G5" s="4" t="s">
        <v>42</v>
      </c>
      <c r="H5" s="6">
        <v>0</v>
      </c>
      <c r="I5" s="6">
        <v>0</v>
      </c>
      <c r="J5" s="6">
        <v>15800000</v>
      </c>
      <c r="K5" s="4" t="s">
        <v>43</v>
      </c>
    </row>
    <row r="6" spans="1:11" ht="15" customHeight="1" x14ac:dyDescent="0.35">
      <c r="A6" s="8" t="s">
        <v>12</v>
      </c>
      <c r="B6" s="8" t="s">
        <v>13</v>
      </c>
      <c r="C6" s="8" t="s">
        <v>15</v>
      </c>
      <c r="D6" s="9">
        <v>46147</v>
      </c>
      <c r="E6" s="9">
        <v>46147</v>
      </c>
      <c r="F6" s="8" t="s">
        <v>44</v>
      </c>
      <c r="G6" s="8" t="s">
        <v>45</v>
      </c>
      <c r="H6" s="10">
        <v>280000</v>
      </c>
      <c r="I6" s="10">
        <v>0</v>
      </c>
      <c r="J6" s="10">
        <v>15520000</v>
      </c>
      <c r="K6" s="8" t="s">
        <v>46</v>
      </c>
    </row>
    <row r="7" spans="1:11" ht="15" customHeight="1" x14ac:dyDescent="0.35">
      <c r="A7" s="4" t="s">
        <v>12</v>
      </c>
      <c r="B7" s="4" t="s">
        <v>13</v>
      </c>
      <c r="C7" s="4" t="s">
        <v>15</v>
      </c>
      <c r="D7" s="5">
        <v>46150</v>
      </c>
      <c r="E7" s="5">
        <v>46150</v>
      </c>
      <c r="F7" s="4" t="s">
        <v>47</v>
      </c>
      <c r="G7" s="4" t="s">
        <v>48</v>
      </c>
      <c r="H7" s="6">
        <v>0</v>
      </c>
      <c r="I7" s="6">
        <v>450000</v>
      </c>
      <c r="J7" s="6">
        <v>15970000</v>
      </c>
      <c r="K7" s="4" t="s">
        <v>49</v>
      </c>
    </row>
    <row r="8" spans="1:11" ht="15" customHeight="1" x14ac:dyDescent="0.35">
      <c r="A8" s="8" t="s">
        <v>12</v>
      </c>
      <c r="B8" s="8" t="s">
        <v>13</v>
      </c>
      <c r="C8" s="8" t="s">
        <v>15</v>
      </c>
      <c r="D8" s="9">
        <v>46157</v>
      </c>
      <c r="E8" s="9">
        <v>46157</v>
      </c>
      <c r="F8" s="8" t="s">
        <v>50</v>
      </c>
      <c r="G8" s="8" t="s">
        <v>51</v>
      </c>
      <c r="H8" s="10">
        <v>1200000</v>
      </c>
      <c r="I8" s="10">
        <v>0</v>
      </c>
      <c r="J8" s="10">
        <v>14770000</v>
      </c>
      <c r="K8" s="8" t="s">
        <v>52</v>
      </c>
    </row>
    <row r="9" spans="1:11" ht="15" customHeight="1" x14ac:dyDescent="0.35">
      <c r="A9" s="4" t="s">
        <v>12</v>
      </c>
      <c r="B9" s="4" t="s">
        <v>13</v>
      </c>
      <c r="C9" s="4" t="s">
        <v>15</v>
      </c>
      <c r="D9" s="5">
        <v>46162</v>
      </c>
      <c r="E9" s="5">
        <v>46162</v>
      </c>
      <c r="F9" s="4" t="s">
        <v>53</v>
      </c>
      <c r="G9" s="4" t="s">
        <v>54</v>
      </c>
      <c r="H9" s="6">
        <v>85000</v>
      </c>
      <c r="I9" s="6">
        <v>0</v>
      </c>
      <c r="J9" s="6">
        <v>14685000</v>
      </c>
      <c r="K9" s="4" t="s">
        <v>55</v>
      </c>
    </row>
    <row r="10" spans="1:11" ht="15" customHeight="1" x14ac:dyDescent="0.35">
      <c r="A10" s="8" t="s">
        <v>12</v>
      </c>
      <c r="B10" s="8" t="s">
        <v>13</v>
      </c>
      <c r="C10" s="8" t="s">
        <v>15</v>
      </c>
      <c r="D10" s="9">
        <v>46164</v>
      </c>
      <c r="E10" s="9">
        <v>46164</v>
      </c>
      <c r="F10" s="8" t="s">
        <v>56</v>
      </c>
      <c r="G10" s="8" t="s">
        <v>57</v>
      </c>
      <c r="H10" s="10">
        <v>0</v>
      </c>
      <c r="I10" s="10">
        <v>680000</v>
      </c>
      <c r="J10" s="10">
        <v>15365000</v>
      </c>
      <c r="K10" s="8" t="s">
        <v>49</v>
      </c>
    </row>
    <row r="11" spans="1:11" ht="15" customHeight="1" x14ac:dyDescent="0.35">
      <c r="A11" s="4" t="s">
        <v>12</v>
      </c>
      <c r="B11" s="4" t="s">
        <v>13</v>
      </c>
      <c r="C11" s="4" t="s">
        <v>15</v>
      </c>
      <c r="D11" s="5">
        <v>46170</v>
      </c>
      <c r="E11" s="5">
        <v>46170</v>
      </c>
      <c r="F11" s="4" t="s">
        <v>58</v>
      </c>
      <c r="G11" s="4" t="s">
        <v>59</v>
      </c>
      <c r="H11" s="6">
        <v>315000</v>
      </c>
      <c r="I11" s="6">
        <v>0</v>
      </c>
      <c r="J11" s="6">
        <v>15050000</v>
      </c>
      <c r="K11" s="4" t="s">
        <v>46</v>
      </c>
    </row>
    <row r="12" spans="1:11" ht="15" customHeight="1" x14ac:dyDescent="0.35">
      <c r="A12" s="8" t="s">
        <v>12</v>
      </c>
      <c r="B12" s="8" t="s">
        <v>13</v>
      </c>
      <c r="C12" s="8" t="s">
        <v>15</v>
      </c>
      <c r="D12" s="9">
        <v>46173</v>
      </c>
      <c r="E12" s="9">
        <v>46173</v>
      </c>
      <c r="F12" s="8" t="s">
        <v>60</v>
      </c>
      <c r="G12" s="8" t="s">
        <v>61</v>
      </c>
      <c r="H12" s="10">
        <v>0</v>
      </c>
      <c r="I12" s="10">
        <v>0</v>
      </c>
      <c r="J12" s="10">
        <v>16700000</v>
      </c>
      <c r="K12" s="8" t="s">
        <v>43</v>
      </c>
    </row>
    <row r="13" spans="1:11" ht="15" customHeight="1" x14ac:dyDescent="0.35">
      <c r="A13" s="4" t="s">
        <v>18</v>
      </c>
      <c r="B13" s="4" t="s">
        <v>19</v>
      </c>
      <c r="C13" s="4" t="s">
        <v>21</v>
      </c>
      <c r="D13" s="5">
        <v>46143</v>
      </c>
      <c r="E13" s="5">
        <v>46143</v>
      </c>
      <c r="F13" s="4" t="s">
        <v>41</v>
      </c>
      <c r="G13" s="4" t="s">
        <v>42</v>
      </c>
      <c r="H13" s="6">
        <v>0</v>
      </c>
      <c r="I13" s="6">
        <v>0</v>
      </c>
      <c r="J13" s="6">
        <v>4800000</v>
      </c>
      <c r="K13" s="4" t="s">
        <v>43</v>
      </c>
    </row>
    <row r="14" spans="1:11" ht="15" customHeight="1" x14ac:dyDescent="0.35">
      <c r="A14" s="8" t="s">
        <v>18</v>
      </c>
      <c r="B14" s="8" t="s">
        <v>19</v>
      </c>
      <c r="C14" s="8" t="s">
        <v>21</v>
      </c>
      <c r="D14" s="9">
        <v>46173</v>
      </c>
      <c r="E14" s="9">
        <v>46173</v>
      </c>
      <c r="F14" s="8" t="s">
        <v>60</v>
      </c>
      <c r="G14" s="8" t="s">
        <v>61</v>
      </c>
      <c r="H14" s="10">
        <v>0</v>
      </c>
      <c r="I14" s="10">
        <v>0</v>
      </c>
      <c r="J14" s="10">
        <v>5050000</v>
      </c>
      <c r="K14" s="8" t="s">
        <v>43</v>
      </c>
    </row>
    <row r="15" spans="1:11" ht="15" customHeight="1" x14ac:dyDescent="0.35">
      <c r="A15" s="4" t="s">
        <v>22</v>
      </c>
      <c r="B15" s="4" t="s">
        <v>23</v>
      </c>
      <c r="C15" s="4" t="s">
        <v>25</v>
      </c>
      <c r="D15" s="5">
        <v>46143</v>
      </c>
      <c r="E15" s="5">
        <v>46143</v>
      </c>
      <c r="F15" s="4" t="s">
        <v>41</v>
      </c>
      <c r="G15" s="4" t="s">
        <v>42</v>
      </c>
      <c r="H15" s="6">
        <v>0</v>
      </c>
      <c r="I15" s="6">
        <v>0</v>
      </c>
      <c r="J15" s="6">
        <v>3700000</v>
      </c>
      <c r="K15" s="4" t="s">
        <v>43</v>
      </c>
    </row>
    <row r="16" spans="1:11" ht="15" customHeight="1" x14ac:dyDescent="0.35">
      <c r="A16" s="8" t="s">
        <v>22</v>
      </c>
      <c r="B16" s="8" t="s">
        <v>23</v>
      </c>
      <c r="C16" s="8" t="s">
        <v>25</v>
      </c>
      <c r="D16" s="9">
        <v>46173</v>
      </c>
      <c r="E16" s="9">
        <v>46173</v>
      </c>
      <c r="F16" s="8" t="s">
        <v>60</v>
      </c>
      <c r="G16" s="8" t="s">
        <v>61</v>
      </c>
      <c r="H16" s="10">
        <v>0</v>
      </c>
      <c r="I16" s="10">
        <v>0</v>
      </c>
      <c r="J16" s="10">
        <v>3980000</v>
      </c>
      <c r="K16" s="8" t="s">
        <v>43</v>
      </c>
    </row>
    <row r="18" spans="1:1" ht="15" customHeight="1" x14ac:dyDescent="0.35">
      <c r="A18" s="19" t="s">
        <v>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P12"/>
  <sheetViews>
    <sheetView zoomScale="90" zoomScaleNormal="90" workbookViewId="0">
      <pane ySplit="4" topLeftCell="A5" activePane="bottomLeft" state="frozen"/>
      <selection pane="bottomLeft" activeCell="K17" sqref="K17"/>
    </sheetView>
  </sheetViews>
  <sheetFormatPr defaultColWidth="8.6328125" defaultRowHeight="14.5" x14ac:dyDescent="0.35"/>
  <cols>
    <col min="1" max="2" width="10" customWidth="1"/>
    <col min="3" max="3" width="26" customWidth="1"/>
    <col min="4" max="4" width="18" customWidth="1"/>
    <col min="5" max="6" width="16" customWidth="1"/>
    <col min="7" max="7" width="20" customWidth="1"/>
    <col min="8" max="9" width="14" customWidth="1"/>
    <col min="10" max="10" width="18" customWidth="1"/>
    <col min="11" max="11" width="14" customWidth="1"/>
    <col min="12" max="12" width="18" customWidth="1"/>
    <col min="13" max="13" width="16" customWidth="1"/>
    <col min="14" max="14" width="10" customWidth="1"/>
    <col min="15" max="15" width="22" customWidth="1"/>
    <col min="16" max="16" width="10" customWidth="1"/>
  </cols>
  <sheetData>
    <row r="1" spans="1:16" ht="27.75" customHeight="1" x14ac:dyDescent="0.35">
      <c r="A1" s="20" t="s">
        <v>63</v>
      </c>
    </row>
    <row r="2" spans="1:16" ht="15.75" customHeight="1" x14ac:dyDescent="0.35">
      <c r="A2" s="2" t="s">
        <v>64</v>
      </c>
    </row>
    <row r="3" spans="1:16" ht="15" customHeight="1" x14ac:dyDescent="0.35">
      <c r="A3" s="21" t="s">
        <v>65</v>
      </c>
    </row>
    <row r="4" spans="1:16" ht="15" customHeight="1" x14ac:dyDescent="0.35">
      <c r="A4" s="19" t="s">
        <v>66</v>
      </c>
    </row>
    <row r="5" spans="1:16" ht="15" customHeight="1" x14ac:dyDescent="0.35">
      <c r="A5" s="19" t="s">
        <v>67</v>
      </c>
    </row>
    <row r="6" spans="1:16" ht="15" customHeight="1" x14ac:dyDescent="0.35">
      <c r="A6" s="19" t="s">
        <v>68</v>
      </c>
    </row>
    <row r="7" spans="1:16" ht="15" customHeight="1" x14ac:dyDescent="0.35">
      <c r="A7" s="19" t="s">
        <v>69</v>
      </c>
    </row>
    <row r="9" spans="1:16" ht="18" customHeight="1" x14ac:dyDescent="0.35">
      <c r="A9" s="22" t="s">
        <v>70</v>
      </c>
      <c r="B9" s="22" t="s">
        <v>2</v>
      </c>
      <c r="C9" s="22" t="s">
        <v>3</v>
      </c>
      <c r="D9" s="22" t="s">
        <v>71</v>
      </c>
      <c r="E9" s="22" t="s">
        <v>72</v>
      </c>
      <c r="F9" s="22" t="s">
        <v>73</v>
      </c>
      <c r="G9" s="22" t="s">
        <v>74</v>
      </c>
      <c r="H9" s="22" t="s">
        <v>75</v>
      </c>
      <c r="I9" s="22" t="s">
        <v>76</v>
      </c>
      <c r="J9" s="22" t="s">
        <v>77</v>
      </c>
      <c r="K9" s="22" t="s">
        <v>78</v>
      </c>
      <c r="L9" s="22" t="s">
        <v>79</v>
      </c>
      <c r="M9" s="22" t="s">
        <v>80</v>
      </c>
      <c r="N9" s="22" t="s">
        <v>5</v>
      </c>
      <c r="O9" s="22" t="s">
        <v>81</v>
      </c>
      <c r="P9" s="22" t="s">
        <v>82</v>
      </c>
    </row>
    <row r="10" spans="1:16" ht="15" customHeight="1" x14ac:dyDescent="0.35">
      <c r="A10" s="23" t="s">
        <v>86</v>
      </c>
      <c r="B10" s="23" t="s">
        <v>18</v>
      </c>
      <c r="C10" s="23" t="s">
        <v>19</v>
      </c>
      <c r="D10" s="23" t="s">
        <v>20</v>
      </c>
      <c r="E10" s="23" t="s">
        <v>83</v>
      </c>
      <c r="F10" s="24">
        <v>6000000</v>
      </c>
      <c r="G10" s="24">
        <v>4000000</v>
      </c>
      <c r="H10" s="25">
        <v>0.04</v>
      </c>
      <c r="I10" s="26">
        <v>46203</v>
      </c>
      <c r="J10" s="24">
        <v>1000000</v>
      </c>
      <c r="K10" s="23" t="s">
        <v>84</v>
      </c>
      <c r="L10" s="24">
        <v>40000</v>
      </c>
      <c r="M10" s="27">
        <f>J10+L10</f>
        <v>1040000</v>
      </c>
      <c r="N10" s="28" t="s">
        <v>21</v>
      </c>
      <c r="O10" s="23" t="s">
        <v>87</v>
      </c>
      <c r="P10" s="23" t="s">
        <v>85</v>
      </c>
    </row>
    <row r="11" spans="1:16" ht="15" customHeight="1" x14ac:dyDescent="0.35">
      <c r="A11" s="29" t="s">
        <v>88</v>
      </c>
      <c r="B11" s="29" t="s">
        <v>22</v>
      </c>
      <c r="C11" s="29" t="s">
        <v>23</v>
      </c>
      <c r="D11" s="29" t="s">
        <v>24</v>
      </c>
      <c r="E11" s="29" t="s">
        <v>83</v>
      </c>
      <c r="F11" s="30">
        <v>4000000</v>
      </c>
      <c r="G11" s="30">
        <v>3000000</v>
      </c>
      <c r="H11" s="31">
        <v>3.7499999999999999E-2</v>
      </c>
      <c r="I11" s="32">
        <v>46234</v>
      </c>
      <c r="J11" s="30">
        <v>750000</v>
      </c>
      <c r="K11" s="29" t="s">
        <v>84</v>
      </c>
      <c r="L11" s="30">
        <v>28125</v>
      </c>
      <c r="M11" s="33">
        <f>J11+L11</f>
        <v>778125</v>
      </c>
      <c r="N11" s="34" t="s">
        <v>25</v>
      </c>
      <c r="O11" s="29" t="s">
        <v>89</v>
      </c>
      <c r="P11" s="29" t="s">
        <v>85</v>
      </c>
    </row>
    <row r="12" spans="1:16" ht="15" customHeight="1" x14ac:dyDescent="0.35">
      <c r="A12" s="35" t="s">
        <v>27</v>
      </c>
      <c r="B12" s="36"/>
      <c r="C12" s="36"/>
      <c r="D12" s="36"/>
      <c r="E12" s="36"/>
      <c r="F12" s="37">
        <f>SUM(F10:F11)</f>
        <v>10000000</v>
      </c>
      <c r="G12" s="37">
        <f>SUM(G10:G11)</f>
        <v>7000000</v>
      </c>
      <c r="H12" s="36"/>
      <c r="I12" s="36"/>
      <c r="J12" s="37">
        <f>SUM(J10:J11)</f>
        <v>1750000</v>
      </c>
      <c r="K12" s="36"/>
      <c r="L12" s="37">
        <f>SUM(L10:L11)</f>
        <v>68125</v>
      </c>
      <c r="M12" s="37">
        <f>SUM(M10:M11)</f>
        <v>1818125</v>
      </c>
      <c r="N12" s="36"/>
      <c r="O12" s="36"/>
      <c r="P12" s="3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O13"/>
  <sheetViews>
    <sheetView zoomScale="90" zoomScaleNormal="9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3" width="18" customWidth="1"/>
    <col min="4" max="4" width="16" customWidth="1"/>
    <col min="5" max="5" width="10" customWidth="1"/>
    <col min="6" max="7" width="12" customWidth="1"/>
    <col min="8" max="8" width="11" customWidth="1"/>
    <col min="9" max="9" width="13" customWidth="1"/>
    <col min="10" max="10" width="12" customWidth="1"/>
    <col min="11" max="11" width="20" customWidth="1"/>
    <col min="12" max="12" width="18" customWidth="1"/>
    <col min="13" max="13" width="14" customWidth="1"/>
    <col min="14" max="14" width="18" customWidth="1"/>
    <col min="15" max="15" width="10" customWidth="1"/>
  </cols>
  <sheetData>
    <row r="1" spans="1:15" ht="27.75" customHeight="1" x14ac:dyDescent="0.35">
      <c r="A1" s="38" t="s">
        <v>91</v>
      </c>
    </row>
    <row r="2" spans="1:15" ht="15.75" customHeight="1" x14ac:dyDescent="0.35">
      <c r="A2" s="2" t="s">
        <v>92</v>
      </c>
    </row>
    <row r="4" spans="1:15" ht="18" customHeight="1" x14ac:dyDescent="0.35">
      <c r="A4" s="39" t="s">
        <v>93</v>
      </c>
      <c r="B4" s="39" t="s">
        <v>94</v>
      </c>
      <c r="C4" s="39" t="s">
        <v>95</v>
      </c>
      <c r="D4" s="39" t="s">
        <v>96</v>
      </c>
      <c r="E4" s="39" t="s">
        <v>5</v>
      </c>
      <c r="F4" s="39" t="s">
        <v>97</v>
      </c>
      <c r="G4" s="39" t="s">
        <v>98</v>
      </c>
      <c r="H4" s="39" t="s">
        <v>99</v>
      </c>
      <c r="I4" s="39" t="s">
        <v>100</v>
      </c>
      <c r="J4" s="39" t="s">
        <v>101</v>
      </c>
      <c r="K4" s="39" t="s">
        <v>102</v>
      </c>
      <c r="L4" s="39" t="s">
        <v>103</v>
      </c>
      <c r="M4" s="39" t="s">
        <v>104</v>
      </c>
      <c r="N4" s="39" t="s">
        <v>105</v>
      </c>
      <c r="O4" s="39" t="s">
        <v>82</v>
      </c>
    </row>
    <row r="5" spans="1:15" ht="15" customHeight="1" x14ac:dyDescent="0.35">
      <c r="A5" s="4" t="s">
        <v>106</v>
      </c>
      <c r="B5" s="4" t="s">
        <v>107</v>
      </c>
      <c r="C5" s="4" t="s">
        <v>108</v>
      </c>
      <c r="D5" s="6">
        <v>10000000</v>
      </c>
      <c r="E5" s="4" t="s">
        <v>15</v>
      </c>
      <c r="F5" s="5">
        <v>46082</v>
      </c>
      <c r="G5" s="5">
        <v>46204</v>
      </c>
      <c r="H5" s="40">
        <v>122</v>
      </c>
      <c r="I5" s="41">
        <v>5.0999999999999997E-2</v>
      </c>
      <c r="J5" s="4" t="s">
        <v>109</v>
      </c>
      <c r="K5" s="6">
        <v>20000000</v>
      </c>
      <c r="L5" s="6">
        <v>10000000</v>
      </c>
      <c r="M5" s="42">
        <f t="shared" ref="M5:M11" si="0">K5-L5</f>
        <v>10000000</v>
      </c>
      <c r="N5" s="4" t="s">
        <v>110</v>
      </c>
      <c r="O5" s="4" t="s">
        <v>85</v>
      </c>
    </row>
    <row r="6" spans="1:15" ht="15" customHeight="1" x14ac:dyDescent="0.35">
      <c r="A6" s="8" t="s">
        <v>111</v>
      </c>
      <c r="B6" s="8" t="s">
        <v>112</v>
      </c>
      <c r="C6" s="8" t="s">
        <v>17</v>
      </c>
      <c r="D6" s="10">
        <v>5000000</v>
      </c>
      <c r="E6" s="8" t="s">
        <v>15</v>
      </c>
      <c r="F6" s="9">
        <v>46113</v>
      </c>
      <c r="G6" s="9">
        <v>46204</v>
      </c>
      <c r="H6" s="43">
        <v>91</v>
      </c>
      <c r="I6" s="44">
        <v>5.0500000000000003E-2</v>
      </c>
      <c r="J6" s="8" t="s">
        <v>113</v>
      </c>
      <c r="K6" s="10">
        <v>25000000</v>
      </c>
      <c r="L6" s="10">
        <v>5000000</v>
      </c>
      <c r="M6" s="45">
        <f t="shared" si="0"/>
        <v>20000000</v>
      </c>
      <c r="N6" s="8" t="s">
        <v>114</v>
      </c>
      <c r="O6" s="8" t="s">
        <v>85</v>
      </c>
    </row>
    <row r="7" spans="1:15" ht="15" customHeight="1" x14ac:dyDescent="0.35">
      <c r="A7" s="4" t="s">
        <v>115</v>
      </c>
      <c r="B7" s="4" t="s">
        <v>107</v>
      </c>
      <c r="C7" s="4" t="s">
        <v>20</v>
      </c>
      <c r="D7" s="6">
        <v>4000000</v>
      </c>
      <c r="E7" s="4" t="s">
        <v>21</v>
      </c>
      <c r="F7" s="5">
        <v>46096</v>
      </c>
      <c r="G7" s="5">
        <v>46218</v>
      </c>
      <c r="H7" s="40">
        <v>122</v>
      </c>
      <c r="I7" s="41">
        <v>4.9500000000000002E-2</v>
      </c>
      <c r="J7" s="4" t="s">
        <v>116</v>
      </c>
      <c r="K7" s="6">
        <v>20000000</v>
      </c>
      <c r="L7" s="6">
        <v>4000000</v>
      </c>
      <c r="M7" s="42">
        <f t="shared" si="0"/>
        <v>16000000</v>
      </c>
      <c r="N7" s="4" t="s">
        <v>117</v>
      </c>
      <c r="O7" s="4" t="s">
        <v>85</v>
      </c>
    </row>
    <row r="8" spans="1:15" ht="15" customHeight="1" x14ac:dyDescent="0.35">
      <c r="A8" s="8" t="s">
        <v>118</v>
      </c>
      <c r="B8" s="8" t="s">
        <v>119</v>
      </c>
      <c r="C8" s="8" t="s">
        <v>120</v>
      </c>
      <c r="D8" s="10">
        <v>1850000</v>
      </c>
      <c r="E8" s="8" t="s">
        <v>21</v>
      </c>
      <c r="F8" s="9">
        <v>46023</v>
      </c>
      <c r="G8" s="9">
        <v>46204</v>
      </c>
      <c r="H8" s="43">
        <v>181</v>
      </c>
      <c r="I8" s="44">
        <v>4.8500000000000001E-2</v>
      </c>
      <c r="J8" s="8" t="s">
        <v>121</v>
      </c>
      <c r="K8" s="10">
        <v>20000000</v>
      </c>
      <c r="L8" s="10">
        <v>1850000</v>
      </c>
      <c r="M8" s="45">
        <f t="shared" si="0"/>
        <v>18150000</v>
      </c>
      <c r="N8" s="8" t="s">
        <v>122</v>
      </c>
      <c r="O8" s="8" t="s">
        <v>85</v>
      </c>
    </row>
    <row r="9" spans="1:15" ht="15" customHeight="1" x14ac:dyDescent="0.35">
      <c r="A9" s="4" t="s">
        <v>123</v>
      </c>
      <c r="B9" s="4" t="s">
        <v>107</v>
      </c>
      <c r="C9" s="4" t="s">
        <v>24</v>
      </c>
      <c r="D9" s="6">
        <v>2200000</v>
      </c>
      <c r="E9" s="4" t="s">
        <v>25</v>
      </c>
      <c r="F9" s="5">
        <v>46054</v>
      </c>
      <c r="G9" s="5">
        <v>46235</v>
      </c>
      <c r="H9" s="40">
        <v>181</v>
      </c>
      <c r="I9" s="41">
        <v>4.7E-2</v>
      </c>
      <c r="J9" s="4" t="s">
        <v>124</v>
      </c>
      <c r="K9" s="6">
        <v>15000000</v>
      </c>
      <c r="L9" s="6">
        <v>2200000</v>
      </c>
      <c r="M9" s="42">
        <f t="shared" si="0"/>
        <v>12800000</v>
      </c>
      <c r="N9" s="4" t="s">
        <v>125</v>
      </c>
      <c r="O9" s="4" t="s">
        <v>85</v>
      </c>
    </row>
    <row r="10" spans="1:15" ht="15" customHeight="1" x14ac:dyDescent="0.35">
      <c r="A10" s="8" t="s">
        <v>126</v>
      </c>
      <c r="B10" s="8" t="s">
        <v>127</v>
      </c>
      <c r="C10" s="8" t="s">
        <v>128</v>
      </c>
      <c r="D10" s="10">
        <v>3000000</v>
      </c>
      <c r="E10" s="8" t="s">
        <v>15</v>
      </c>
      <c r="F10" s="9">
        <v>45992</v>
      </c>
      <c r="G10" s="9">
        <v>46357</v>
      </c>
      <c r="H10" s="43">
        <v>365</v>
      </c>
      <c r="I10" s="44">
        <v>5.1499999999999997E-2</v>
      </c>
      <c r="J10" s="8" t="s">
        <v>124</v>
      </c>
      <c r="K10" s="10">
        <v>15000000</v>
      </c>
      <c r="L10" s="10">
        <v>3000000</v>
      </c>
      <c r="M10" s="45">
        <f t="shared" si="0"/>
        <v>12000000</v>
      </c>
      <c r="N10" s="8" t="s">
        <v>129</v>
      </c>
      <c r="O10" s="8" t="s">
        <v>85</v>
      </c>
    </row>
    <row r="11" spans="1:15" ht="15" customHeight="1" x14ac:dyDescent="0.35">
      <c r="A11" s="4" t="s">
        <v>130</v>
      </c>
      <c r="B11" s="4" t="s">
        <v>107</v>
      </c>
      <c r="C11" s="4" t="s">
        <v>90</v>
      </c>
      <c r="D11" s="6">
        <v>2500000</v>
      </c>
      <c r="E11" s="4" t="s">
        <v>25</v>
      </c>
      <c r="F11" s="5">
        <v>46023</v>
      </c>
      <c r="G11" s="5">
        <v>46388</v>
      </c>
      <c r="H11" s="40">
        <v>365</v>
      </c>
      <c r="I11" s="41">
        <v>4.8000000000000001E-2</v>
      </c>
      <c r="J11" s="4" t="s">
        <v>116</v>
      </c>
      <c r="K11" s="6">
        <v>15000000</v>
      </c>
      <c r="L11" s="6">
        <v>2500000</v>
      </c>
      <c r="M11" s="42">
        <f t="shared" si="0"/>
        <v>12500000</v>
      </c>
      <c r="N11" s="4" t="s">
        <v>131</v>
      </c>
      <c r="O11" s="4" t="s">
        <v>85</v>
      </c>
    </row>
    <row r="13" spans="1:15" ht="15" customHeight="1" x14ac:dyDescent="0.35">
      <c r="A13" s="46" t="s">
        <v>132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D37"/>
  <sheetViews>
    <sheetView tabSelected="1" zoomScale="90" zoomScaleNormal="90" workbookViewId="0">
      <pane ySplit="5" topLeftCell="A6" activePane="bottomLeft" state="frozen"/>
      <selection pane="bottomLeft" activeCell="H19" sqref="H19"/>
    </sheetView>
  </sheetViews>
  <sheetFormatPr defaultColWidth="8.6328125" defaultRowHeight="14.5" x14ac:dyDescent="0.35"/>
  <cols>
    <col min="1" max="1" width="32" customWidth="1"/>
    <col min="2" max="2" width="24" customWidth="1"/>
    <col min="3" max="3" width="26" customWidth="1"/>
    <col min="4" max="4" width="74.90625" bestFit="1" customWidth="1"/>
  </cols>
  <sheetData>
    <row r="1" spans="1:4" ht="27.75" customHeight="1" x14ac:dyDescent="0.35">
      <c r="A1" s="47" t="s">
        <v>133</v>
      </c>
    </row>
    <row r="2" spans="1:4" ht="15.75" customHeight="1" x14ac:dyDescent="0.35">
      <c r="A2" s="2" t="s">
        <v>134</v>
      </c>
    </row>
    <row r="4" spans="1:4" ht="18" customHeight="1" x14ac:dyDescent="0.35">
      <c r="A4" s="64" t="s">
        <v>135</v>
      </c>
      <c r="B4" s="64"/>
      <c r="C4" s="64"/>
      <c r="D4" s="64"/>
    </row>
    <row r="5" spans="1:4" ht="15" customHeight="1" x14ac:dyDescent="0.35">
      <c r="A5" s="3" t="s">
        <v>136</v>
      </c>
      <c r="B5" s="3" t="s">
        <v>137</v>
      </c>
      <c r="C5" s="3" t="s">
        <v>138</v>
      </c>
      <c r="D5" s="3" t="s">
        <v>35</v>
      </c>
    </row>
    <row r="6" spans="1:4" ht="15" customHeight="1" x14ac:dyDescent="0.35">
      <c r="A6" s="48" t="s">
        <v>139</v>
      </c>
      <c r="B6" s="49">
        <v>46174</v>
      </c>
      <c r="C6" s="50" t="s">
        <v>140</v>
      </c>
      <c r="D6" s="51" t="s">
        <v>141</v>
      </c>
    </row>
    <row r="7" spans="1:4" ht="15" customHeight="1" x14ac:dyDescent="0.35">
      <c r="A7" s="52" t="s">
        <v>142</v>
      </c>
      <c r="B7" s="53">
        <v>5.0999999999999997E-2</v>
      </c>
      <c r="C7" s="54" t="s">
        <v>143</v>
      </c>
      <c r="D7" s="55" t="s">
        <v>144</v>
      </c>
    </row>
    <row r="8" spans="1:4" ht="15" customHeight="1" x14ac:dyDescent="0.35">
      <c r="A8" s="48" t="s">
        <v>145</v>
      </c>
      <c r="B8" s="56">
        <v>5.1999999999999998E-2</v>
      </c>
      <c r="C8" s="50" t="s">
        <v>143</v>
      </c>
      <c r="D8" s="51" t="s">
        <v>146</v>
      </c>
    </row>
    <row r="9" spans="1:4" ht="15" customHeight="1" x14ac:dyDescent="0.35">
      <c r="A9" s="52" t="s">
        <v>147</v>
      </c>
      <c r="B9" s="53">
        <v>5.28E-2</v>
      </c>
      <c r="C9" s="54" t="s">
        <v>143</v>
      </c>
      <c r="D9" s="55" t="s">
        <v>148</v>
      </c>
    </row>
    <row r="10" spans="1:4" ht="15" customHeight="1" x14ac:dyDescent="0.35">
      <c r="A10" s="48" t="s">
        <v>149</v>
      </c>
      <c r="B10" s="56">
        <v>5.3499999999999999E-2</v>
      </c>
      <c r="C10" s="50" t="s">
        <v>143</v>
      </c>
      <c r="D10" s="51" t="s">
        <v>150</v>
      </c>
    </row>
    <row r="11" spans="1:4" ht="15" customHeight="1" x14ac:dyDescent="0.35">
      <c r="A11" s="52" t="s">
        <v>151</v>
      </c>
      <c r="B11" s="53">
        <v>4.9000000000000002E-2</v>
      </c>
      <c r="C11" s="54" t="s">
        <v>143</v>
      </c>
      <c r="D11" s="55" t="s">
        <v>152</v>
      </c>
    </row>
    <row r="12" spans="1:4" ht="15" customHeight="1" x14ac:dyDescent="0.35">
      <c r="A12" s="48" t="s">
        <v>153</v>
      </c>
      <c r="B12" s="56">
        <v>3.1E-2</v>
      </c>
      <c r="C12" s="50" t="s">
        <v>143</v>
      </c>
      <c r="D12" s="51" t="s">
        <v>154</v>
      </c>
    </row>
    <row r="15" spans="1:4" ht="18" customHeight="1" x14ac:dyDescent="0.35">
      <c r="A15" s="64" t="s">
        <v>155</v>
      </c>
      <c r="B15" s="64"/>
      <c r="C15" s="64"/>
      <c r="D15" s="64"/>
    </row>
    <row r="16" spans="1:4" ht="15" customHeight="1" x14ac:dyDescent="0.35">
      <c r="A16" s="3" t="s">
        <v>136</v>
      </c>
      <c r="B16" s="3" t="s">
        <v>137</v>
      </c>
      <c r="C16" s="3" t="s">
        <v>138</v>
      </c>
      <c r="D16" s="3" t="s">
        <v>35</v>
      </c>
    </row>
    <row r="17" spans="1:4" ht="15" customHeight="1" x14ac:dyDescent="0.35">
      <c r="A17" s="52" t="s">
        <v>156</v>
      </c>
      <c r="B17" s="57">
        <v>4.8000000000000001E-2</v>
      </c>
      <c r="C17" s="54" t="s">
        <v>143</v>
      </c>
      <c r="D17" s="55" t="s">
        <v>157</v>
      </c>
    </row>
    <row r="18" spans="1:4" ht="15" customHeight="1" x14ac:dyDescent="0.35">
      <c r="A18" s="48" t="s">
        <v>158</v>
      </c>
      <c r="B18" s="58">
        <v>180</v>
      </c>
      <c r="C18" s="50" t="s">
        <v>159</v>
      </c>
      <c r="D18" s="51" t="s">
        <v>160</v>
      </c>
    </row>
    <row r="19" spans="1:4" ht="15" customHeight="1" x14ac:dyDescent="0.35">
      <c r="A19" s="52" t="s">
        <v>161</v>
      </c>
      <c r="B19" s="58" t="s">
        <v>162</v>
      </c>
      <c r="C19" s="54" t="s">
        <v>163</v>
      </c>
      <c r="D19" s="55" t="s">
        <v>164</v>
      </c>
    </row>
    <row r="20" spans="1:4" ht="15" customHeight="1" x14ac:dyDescent="0.35">
      <c r="A20" s="48" t="s">
        <v>165</v>
      </c>
      <c r="B20" s="59">
        <v>1000000</v>
      </c>
      <c r="C20" s="50" t="s">
        <v>166</v>
      </c>
      <c r="D20" s="51" t="s">
        <v>167</v>
      </c>
    </row>
    <row r="21" spans="1:4" ht="15" customHeight="1" x14ac:dyDescent="0.35">
      <c r="A21" s="52" t="s">
        <v>168</v>
      </c>
      <c r="B21" s="59">
        <v>750000</v>
      </c>
      <c r="C21" s="54" t="s">
        <v>166</v>
      </c>
      <c r="D21" s="55" t="s">
        <v>169</v>
      </c>
    </row>
    <row r="22" spans="1:4" ht="15" customHeight="1" x14ac:dyDescent="0.35">
      <c r="A22" s="48" t="s">
        <v>170</v>
      </c>
      <c r="B22" s="59">
        <v>1000000</v>
      </c>
      <c r="C22" s="50" t="s">
        <v>166</v>
      </c>
      <c r="D22" s="51" t="s">
        <v>171</v>
      </c>
    </row>
    <row r="23" spans="1:4" ht="15" customHeight="1" x14ac:dyDescent="0.35">
      <c r="A23" s="52" t="s">
        <v>172</v>
      </c>
      <c r="B23" s="58" t="s">
        <v>173</v>
      </c>
      <c r="C23" s="54" t="s">
        <v>174</v>
      </c>
      <c r="D23" s="55" t="s">
        <v>175</v>
      </c>
    </row>
    <row r="24" spans="1:4" ht="15" customHeight="1" x14ac:dyDescent="0.35">
      <c r="A24" s="48" t="s">
        <v>176</v>
      </c>
      <c r="B24" s="58" t="s">
        <v>177</v>
      </c>
      <c r="C24" s="50" t="s">
        <v>174</v>
      </c>
      <c r="D24" s="51" t="s">
        <v>178</v>
      </c>
    </row>
    <row r="27" spans="1:4" ht="18" customHeight="1" x14ac:dyDescent="0.35">
      <c r="A27" s="64" t="s">
        <v>179</v>
      </c>
      <c r="B27" s="64"/>
      <c r="C27" s="64"/>
      <c r="D27" s="64"/>
    </row>
    <row r="28" spans="1:4" ht="15" customHeight="1" x14ac:dyDescent="0.35">
      <c r="A28" s="3" t="s">
        <v>95</v>
      </c>
      <c r="B28" s="3" t="s">
        <v>102</v>
      </c>
      <c r="C28" s="3" t="s">
        <v>5</v>
      </c>
      <c r="D28" s="3" t="s">
        <v>11</v>
      </c>
    </row>
    <row r="29" spans="1:4" ht="15" customHeight="1" x14ac:dyDescent="0.35">
      <c r="A29" s="4" t="s">
        <v>108</v>
      </c>
      <c r="B29" s="6">
        <v>20000000</v>
      </c>
      <c r="C29" s="60" t="s">
        <v>15</v>
      </c>
      <c r="D29" s="61"/>
    </row>
    <row r="30" spans="1:4" ht="15" customHeight="1" x14ac:dyDescent="0.35">
      <c r="A30" s="8" t="s">
        <v>20</v>
      </c>
      <c r="B30" s="10">
        <v>20000000</v>
      </c>
      <c r="C30" s="62" t="s">
        <v>15</v>
      </c>
      <c r="D30" s="63"/>
    </row>
    <row r="31" spans="1:4" ht="15" customHeight="1" x14ac:dyDescent="0.35">
      <c r="A31" s="4" t="s">
        <v>17</v>
      </c>
      <c r="B31" s="6">
        <v>25000000</v>
      </c>
      <c r="C31" s="60" t="s">
        <v>15</v>
      </c>
      <c r="D31" s="61"/>
    </row>
    <row r="32" spans="1:4" ht="15" customHeight="1" x14ac:dyDescent="0.35">
      <c r="A32" s="8" t="s">
        <v>128</v>
      </c>
      <c r="B32" s="10">
        <v>15000000</v>
      </c>
      <c r="C32" s="62" t="s">
        <v>15</v>
      </c>
      <c r="D32" s="63"/>
    </row>
    <row r="33" spans="1:4" ht="15" customHeight="1" x14ac:dyDescent="0.35">
      <c r="A33" s="4" t="s">
        <v>24</v>
      </c>
      <c r="B33" s="6">
        <v>15000000</v>
      </c>
      <c r="C33" s="60" t="s">
        <v>15</v>
      </c>
      <c r="D33" s="61"/>
    </row>
    <row r="34" spans="1:4" ht="15" customHeight="1" x14ac:dyDescent="0.35">
      <c r="A34" s="8" t="s">
        <v>90</v>
      </c>
      <c r="B34" s="10">
        <v>15000000</v>
      </c>
      <c r="C34" s="62" t="s">
        <v>15</v>
      </c>
      <c r="D34" s="63"/>
    </row>
    <row r="35" spans="1:4" ht="15" customHeight="1" x14ac:dyDescent="0.35">
      <c r="A35" s="4" t="s">
        <v>26</v>
      </c>
      <c r="B35" s="6">
        <v>10000000</v>
      </c>
      <c r="C35" s="60" t="s">
        <v>15</v>
      </c>
      <c r="D35" s="61"/>
    </row>
    <row r="36" spans="1:4" ht="15" customHeight="1" x14ac:dyDescent="0.35">
      <c r="A36" s="8" t="s">
        <v>180</v>
      </c>
      <c r="B36" s="10">
        <v>10000000</v>
      </c>
      <c r="C36" s="62" t="s">
        <v>15</v>
      </c>
      <c r="D36" s="63"/>
    </row>
    <row r="37" spans="1:4" ht="15" customHeight="1" x14ac:dyDescent="0.35">
      <c r="A37" s="4" t="s">
        <v>120</v>
      </c>
      <c r="B37" s="6">
        <v>50000000</v>
      </c>
      <c r="C37" s="60" t="s">
        <v>15</v>
      </c>
      <c r="D37" s="61" t="s">
        <v>181</v>
      </c>
    </row>
  </sheetData>
  <mergeCells count="3">
    <mergeCell ref="A4:D4"/>
    <mergeCell ref="A15:D15"/>
    <mergeCell ref="A27:D27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Cash Balances</vt:lpstr>
      <vt:lpstr>Bank Statements</vt:lpstr>
      <vt:lpstr>Loan Schedule</vt:lpstr>
      <vt:lpstr>Investment Positions</vt:lpstr>
      <vt:lpstr>Market Rates &amp; 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Shah, Vedant J.</cp:lastModifiedBy>
  <cp:revision>0</cp:revision>
  <dcterms:created xsi:type="dcterms:W3CDTF">2026-06-03T12:03:00Z</dcterms:created>
  <dcterms:modified xsi:type="dcterms:W3CDTF">2026-09-15T07:31:09Z</dcterms:modified>
  <dc:language>en-US</dc:language>
</cp:coreProperties>
</file>